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665743-82E5-4F6E-A417-9C75A38D5E07}" xr6:coauthVersionLast="47" xr6:coauthVersionMax="47" xr10:uidLastSave="{00000000-0000-0000-0000-000000000000}"/>
  <bookViews>
    <workbookView xWindow="-108" yWindow="-108" windowWidth="23256" windowHeight="12456" xr2:uid="{76FF1D83-6E30-4ECF-BA99-572A1EFD70F2}"/>
  </bookViews>
  <sheets>
    <sheet name="1" sheetId="1" r:id="rId1"/>
    <sheet name="2" sheetId="3" r:id="rId2"/>
    <sheet name="notes" sheetId="5" r:id="rId3"/>
    <sheet name="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3" i="1"/>
  <c r="F15" i="1"/>
  <c r="F14" i="1"/>
  <c r="F13" i="1"/>
  <c r="G15" i="1"/>
  <c r="G14" i="1"/>
  <c r="G13" i="1"/>
  <c r="E15" i="1"/>
  <c r="E14" i="1"/>
  <c r="E13" i="1"/>
  <c r="D15" i="1"/>
  <c r="D14" i="1"/>
  <c r="D13" i="1"/>
  <c r="C15" i="1"/>
  <c r="C14" i="1"/>
  <c r="C13" i="1"/>
  <c r="C4" i="1"/>
  <c r="G4" i="1" s="1"/>
  <c r="H4" i="1"/>
  <c r="F4" i="1"/>
  <c r="E4" i="1"/>
  <c r="D4" i="1"/>
  <c r="B4" i="1"/>
  <c r="M11" i="3"/>
  <c r="N11" i="3" s="1"/>
  <c r="M10" i="3"/>
  <c r="N10" i="3" s="1"/>
  <c r="M9" i="3"/>
  <c r="N9" i="3" s="1"/>
  <c r="M8" i="3"/>
  <c r="N8" i="3" s="1"/>
  <c r="M7" i="3"/>
  <c r="N7" i="3" s="1"/>
  <c r="M6" i="3"/>
  <c r="N6" i="3" s="1"/>
  <c r="M5" i="3"/>
  <c r="N5" i="3" s="1"/>
  <c r="M4" i="3"/>
  <c r="N4" i="3" s="1"/>
  <c r="M3" i="3"/>
  <c r="N3" i="3" s="1"/>
</calcChain>
</file>

<file path=xl/sharedStrings.xml><?xml version="1.0" encoding="utf-8"?>
<sst xmlns="http://schemas.openxmlformats.org/spreadsheetml/2006/main" count="190" uniqueCount="107">
  <si>
    <t>%AGE OF LIQUIDATION</t>
  </si>
  <si>
    <t>SEQ</t>
  </si>
  <si>
    <t>NAME OF HEI</t>
  </si>
  <si>
    <t>TOTAL DISBURSEMENTS</t>
  </si>
  <si>
    <t>TOTAL AMOUNT LIQUIDATED</t>
  </si>
  <si>
    <t>FOR ENDORSEMENT</t>
  </si>
  <si>
    <t>TOTAL AMOUNT UNLIQUIDATED (net of for endorsement)</t>
  </si>
  <si>
    <t>FOR COMPLIANCE</t>
  </si>
  <si>
    <t>SUMMARY PER HEI</t>
  </si>
  <si>
    <t>ACADEMIC YEAR</t>
  </si>
  <si>
    <t>LIQUIDATED AMOUNT</t>
  </si>
  <si>
    <t>UNLIQUIDATED AMOUNT</t>
  </si>
  <si>
    <t>%AGE OF FOR COMPLIANCE</t>
  </si>
  <si>
    <t>SUMMARY PER AY</t>
  </si>
  <si>
    <t>#</t>
  </si>
  <si>
    <t>HEI Name</t>
  </si>
  <si>
    <t>Academic Year</t>
  </si>
  <si>
    <t>Semester</t>
  </si>
  <si>
    <t>Date Endorsed for Payment/ TES Fund Released</t>
  </si>
  <si>
    <t>Batch no.</t>
  </si>
  <si>
    <t>DV Control no.</t>
  </si>
  <si>
    <t>Number of Grantees</t>
  </si>
  <si>
    <t>Total Disbursements</t>
  </si>
  <si>
    <t>Amount with Complete Documents</t>
  </si>
  <si>
    <t>Amount Refunded</t>
  </si>
  <si>
    <t>Refund OR no.</t>
  </si>
  <si>
    <t>Total Amount Liquidated</t>
  </si>
  <si>
    <t>Total Unliquidated Amount</t>
  </si>
  <si>
    <t>Status of Documents</t>
  </si>
  <si>
    <t>Date of HEI's submission of Liquidation Report</t>
  </si>
  <si>
    <t>Receiver</t>
  </si>
  <si>
    <t>Date Reviewed (Sample: 01/28/2025)</t>
  </si>
  <si>
    <t>Regional Coordinator's Note</t>
  </si>
  <si>
    <t>Status of HEI Compliance</t>
  </si>
  <si>
    <t>Documents for compliance</t>
  </si>
  <si>
    <t>Date of Email of Concerns</t>
  </si>
  <si>
    <t>Aging of compliance for Concerns</t>
  </si>
  <si>
    <t>Status of Liquidation</t>
  </si>
  <si>
    <t>Date of Endorsement</t>
  </si>
  <si>
    <t>Transmittal Reference Number</t>
  </si>
  <si>
    <t>Number of Folders (Folder Location Number)</t>
  </si>
  <si>
    <t>Group Transmittal</t>
  </si>
  <si>
    <t>Other File Location of Endorsed Liquidation</t>
  </si>
  <si>
    <t>Number of days Lapsed</t>
  </si>
  <si>
    <t>Document Location (include history to monitor transfer)</t>
  </si>
  <si>
    <t>Endorsed by (Regional Coordinator)</t>
  </si>
  <si>
    <t>Reviewed By</t>
  </si>
  <si>
    <t>FOR COMPLIANCE (AFTER RC INITIAL REVIEW)</t>
  </si>
  <si>
    <t>STATUS (INITIAL REVIEW)</t>
  </si>
  <si>
    <t>STATUS AFTER ENDORSEMENT TO ACCOUNTING</t>
  </si>
  <si>
    <t>Date of Submission of Compliance</t>
  </si>
  <si>
    <t>%AGE OF SUBMISSION</t>
  </si>
  <si>
    <t>ADVENTIST COLLEGE OF TECHNOLOGY INCORPORATED</t>
  </si>
  <si>
    <t>2024-2025</t>
  </si>
  <si>
    <t>COTABATO MEDICAL FOUNDATION COLLEGE</t>
  </si>
  <si>
    <t>TES-3B</t>
  </si>
  <si>
    <t>TES-2025-02572</t>
  </si>
  <si>
    <t>No Submission</t>
  </si>
  <si>
    <t>Batch 1</t>
  </si>
  <si>
    <t>TES-2025-02596</t>
  </si>
  <si>
    <t>Complete Submission</t>
  </si>
  <si>
    <t>Batch 10-13.2</t>
  </si>
  <si>
    <t>TES-2025-02613</t>
  </si>
  <si>
    <t>Batch 13</t>
  </si>
  <si>
    <t>TES-2025-02583</t>
  </si>
  <si>
    <t>TES-2025-02584</t>
  </si>
  <si>
    <t>TES-2025-02595</t>
  </si>
  <si>
    <t>Batch 15</t>
  </si>
  <si>
    <t>TES-2025-02655</t>
  </si>
  <si>
    <t>BROKENSHIRE COLLEGE OF SOCKSARGEN, INC.</t>
  </si>
  <si>
    <t>Batch 11-13.1</t>
  </si>
  <si>
    <t>TES-2025-02651</t>
  </si>
  <si>
    <t>TES-2025-02679</t>
  </si>
  <si>
    <t>Partial Submission</t>
  </si>
  <si>
    <t>(Default)</t>
  </si>
  <si>
    <t>30 days</t>
  </si>
  <si>
    <t>10 days</t>
  </si>
  <si>
    <t>- 25 days</t>
  </si>
  <si>
    <t>- 45 days</t>
  </si>
  <si>
    <t>Aries Jake Laro</t>
  </si>
  <si>
    <t>Jay-Arr Castillo</t>
  </si>
  <si>
    <t>Beberly Baton</t>
  </si>
  <si>
    <t>Edelle Joy Villanueva</t>
  </si>
  <si>
    <t>Angel Mae Magbanua</t>
  </si>
  <si>
    <t>Shel 1B R4</t>
  </si>
  <si>
    <t>Shel 1B R1</t>
  </si>
  <si>
    <t>Shel 1B R2</t>
  </si>
  <si>
    <t>Shel 1B R3</t>
  </si>
  <si>
    <t>Shel 1B R5</t>
  </si>
  <si>
    <t>Reviewed by</t>
  </si>
  <si>
    <t>For Compliance: Submission of Revised FUR</t>
  </si>
  <si>
    <t>Fully Endorsed</t>
  </si>
  <si>
    <t>Partially Endorsed</t>
  </si>
  <si>
    <t>For Compliance</t>
  </si>
  <si>
    <t>For Review</t>
  </si>
  <si>
    <t>Returned to HEI</t>
  </si>
  <si>
    <t>Pending Review by HEI</t>
  </si>
  <si>
    <t>Documents Complied by  HEI</t>
  </si>
  <si>
    <t>12/15/2025</t>
  </si>
  <si>
    <t>Unliquidated</t>
  </si>
  <si>
    <t>Partiall Liquidated - Endorsed to Accounting</t>
  </si>
  <si>
    <t>Fully liquidated - Endorsed to Accounting</t>
  </si>
  <si>
    <t>TES-2026-01210</t>
  </si>
  <si>
    <t>2/UniFAST R12-CMFCI-File 1952 to File 1953</t>
  </si>
  <si>
    <t>Transmittal N0, 2026-0001</t>
  </si>
  <si>
    <t>=(Liquidated amount)+Unliquidated amount but the document status is either "Complete Submission" or "Partial Submissiom" divided by Total Disbursements</t>
  </si>
  <si>
    <t>=Date Endorsed for Payment/ TES Fund Released + 90 Days - Date of HEI's submission of Liquidation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</si>
</sst>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m/d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0" borderId="2" xfId="0" applyFont="1" applyBorder="1"/>
    <xf numFmtId="2" fontId="0" fillId="0" borderId="0" xfId="0" applyNumberFormat="1"/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170" fontId="0" fillId="0" borderId="2" xfId="0" applyNumberFormat="1" applyFont="1" applyBorder="1"/>
    <xf numFmtId="43" fontId="6" fillId="0" borderId="2" xfId="1" applyFont="1" applyBorder="1"/>
    <xf numFmtId="2" fontId="0" fillId="0" borderId="2" xfId="0" applyNumberFormat="1" applyFont="1" applyBorder="1"/>
    <xf numFmtId="0" fontId="0" fillId="0" borderId="0" xfId="0" applyFont="1"/>
    <xf numFmtId="2" fontId="0" fillId="0" borderId="2" xfId="0" quotePrefix="1" applyNumberFormat="1" applyFont="1" applyBorder="1"/>
    <xf numFmtId="14" fontId="0" fillId="0" borderId="2" xfId="0" applyNumberFormat="1" applyFont="1" applyBorder="1"/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0" fillId="0" borderId="2" xfId="0" quotePrefix="1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vertical="center"/>
    </xf>
    <xf numFmtId="0" fontId="0" fillId="0" borderId="0" xfId="0" quotePrefix="1"/>
  </cellXfs>
  <cellStyles count="3">
    <cellStyle name="Comma" xfId="1" builtinId="3"/>
    <cellStyle name="Normal" xfId="0" builtinId="0"/>
    <cellStyle name="Normal 2" xfId="2" xr:uid="{DE071A74-63A4-48F3-903F-F794721611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D5B7-4270-431B-94CF-9458260B58D9}">
  <dimension ref="A2:K15"/>
  <sheetViews>
    <sheetView tabSelected="1" workbookViewId="0">
      <selection activeCell="B19" sqref="B19"/>
    </sheetView>
  </sheetViews>
  <sheetFormatPr defaultRowHeight="14.4" x14ac:dyDescent="0.3"/>
  <cols>
    <col min="1" max="1" width="12.88671875" customWidth="1"/>
    <col min="2" max="2" width="47.33203125" style="2" bestFit="1" customWidth="1"/>
    <col min="3" max="6" width="19.33203125" style="2" customWidth="1"/>
    <col min="7" max="7" width="22.33203125" style="2" customWidth="1"/>
    <col min="8" max="9" width="19.33203125" style="2" customWidth="1"/>
  </cols>
  <sheetData>
    <row r="2" spans="1:11" ht="15" thickBot="1" x14ac:dyDescent="0.35">
      <c r="A2" t="s">
        <v>13</v>
      </c>
    </row>
    <row r="3" spans="1:11" s="1" customFormat="1" ht="31.8" thickTop="1" x14ac:dyDescent="0.3">
      <c r="A3" s="25" t="s">
        <v>9</v>
      </c>
      <c r="B3" s="25" t="s">
        <v>3</v>
      </c>
      <c r="C3" s="25" t="s">
        <v>10</v>
      </c>
      <c r="D3" s="25" t="s">
        <v>11</v>
      </c>
      <c r="E3" s="25" t="s">
        <v>5</v>
      </c>
      <c r="F3" s="25" t="s">
        <v>7</v>
      </c>
      <c r="G3" s="25" t="s">
        <v>0</v>
      </c>
      <c r="H3" s="25" t="s">
        <v>12</v>
      </c>
      <c r="I3" s="24" t="s">
        <v>51</v>
      </c>
    </row>
    <row r="4" spans="1:11" ht="129.6" x14ac:dyDescent="0.3">
      <c r="A4" s="26" t="s">
        <v>53</v>
      </c>
      <c r="B4" s="27">
        <f>SUMIFS('2'!$I:$I,'2'!$C:$C,'1'!$A4)</f>
        <v>6610370</v>
      </c>
      <c r="C4" s="27">
        <f>SUMIFS('2'!$M:$M,'2'!$C:$C,'1'!$A4)</f>
        <v>8000</v>
      </c>
      <c r="D4" s="27">
        <f>SUMIFS('2'!$N:$N,'2'!$C:$C,'1'!$A4)</f>
        <v>6602370</v>
      </c>
      <c r="E4" s="27">
        <f>SUMIFS('2'!$N$3:$N$11,'2'!$C$3:$C$11,'1'!$A4,'2'!$V$3:$V$11,'1'!$E$3)</f>
        <v>2658825</v>
      </c>
      <c r="F4" s="27">
        <f>SUMIFS('2'!$N$3:$N$11,'2'!$C$3:$C$11,'1'!$A4,'2'!$V$3:$V$11,'1'!$F$3)</f>
        <v>2195235</v>
      </c>
      <c r="G4" s="28">
        <f>(E4+C4)/B4</f>
        <v>0.40343051901784621</v>
      </c>
      <c r="H4" s="28">
        <f>F4/B4</f>
        <v>0.33208958046221315</v>
      </c>
      <c r="I4" s="29" t="s">
        <v>105</v>
      </c>
      <c r="J4" s="22"/>
      <c r="K4" s="22"/>
    </row>
    <row r="5" spans="1:11" x14ac:dyDescent="0.3">
      <c r="B5" s="21"/>
      <c r="C5" s="21"/>
      <c r="D5" s="21"/>
      <c r="E5" s="21"/>
      <c r="F5" s="21"/>
    </row>
    <row r="6" spans="1:11" x14ac:dyDescent="0.3">
      <c r="B6" s="21"/>
      <c r="C6" s="21"/>
      <c r="D6" s="21"/>
      <c r="E6" s="21"/>
      <c r="F6" s="21"/>
    </row>
    <row r="11" spans="1:11" ht="15" thickBot="1" x14ac:dyDescent="0.35">
      <c r="A11" t="s">
        <v>8</v>
      </c>
    </row>
    <row r="12" spans="1:11" s="1" customFormat="1" ht="40.200000000000003" thickTop="1" x14ac:dyDescent="0.3">
      <c r="A12" s="23" t="s">
        <v>1</v>
      </c>
      <c r="B12" s="24" t="s">
        <v>2</v>
      </c>
      <c r="C12" s="24" t="s">
        <v>3</v>
      </c>
      <c r="D12" s="24" t="s">
        <v>4</v>
      </c>
      <c r="E12" s="24" t="s">
        <v>5</v>
      </c>
      <c r="F12" s="24" t="s">
        <v>6</v>
      </c>
      <c r="G12" s="24" t="s">
        <v>7</v>
      </c>
      <c r="H12" s="24" t="s">
        <v>0</v>
      </c>
      <c r="I12" s="24" t="s">
        <v>51</v>
      </c>
    </row>
    <row r="13" spans="1:11" ht="129.6" x14ac:dyDescent="0.3">
      <c r="A13" s="31">
        <v>1</v>
      </c>
      <c r="B13" s="31" t="s">
        <v>52</v>
      </c>
      <c r="C13" s="27">
        <f>SUMIFS('2'!$I:$I,'2'!$B:$B,'1'!$B13)</f>
        <v>3086055</v>
      </c>
      <c r="D13" s="27">
        <f>SUMIFS('2'!$M$3:$M$11,'2'!$B$3:$B$11,'1'!$B13)</f>
        <v>0</v>
      </c>
      <c r="E13" s="27">
        <f>SUMIFS('2'!$N$3:$N$11,'2'!$B$3:$B$11,'1'!$B13,'2'!$V$3:$V$11,'1'!$E$12)</f>
        <v>0</v>
      </c>
      <c r="F13" s="27">
        <f>C13-D13-E13</f>
        <v>3086055</v>
      </c>
      <c r="G13" s="27">
        <f>SUMIFS('2'!$N$3:$N$11,'2'!$B$3:$B$11,'1'!$B13,'2'!$V$3:$V$11,'1'!$G$12)</f>
        <v>2195235</v>
      </c>
      <c r="H13" s="28">
        <f>(E13+D13)/C13</f>
        <v>0</v>
      </c>
      <c r="I13" s="29" t="s">
        <v>105</v>
      </c>
    </row>
    <row r="14" spans="1:11" x14ac:dyDescent="0.3">
      <c r="A14" s="31">
        <v>2</v>
      </c>
      <c r="B14" s="31" t="s">
        <v>69</v>
      </c>
      <c r="C14" s="27">
        <f>SUMIFS('2'!$I:$I,'2'!$B:$B,'1'!$B14)</f>
        <v>736290</v>
      </c>
      <c r="D14" s="27">
        <f>SUMIFS('2'!$M$3:$M$11,'2'!$B$3:$B$11,'1'!$B14)</f>
        <v>0</v>
      </c>
      <c r="E14" s="27">
        <f>SUMIFS('2'!$N$3:$N$11,'2'!$B$3:$B$11,'1'!$B14,'2'!$V$3:$V$11,'1'!$E$12)</f>
        <v>0</v>
      </c>
      <c r="F14" s="27">
        <f t="shared" ref="F14:F15" si="0">C14-D14-E14</f>
        <v>736290</v>
      </c>
      <c r="G14" s="27">
        <f>SUMIFS('2'!$N$3:$N$11,'2'!$B$3:$B$11,'1'!$B14,'2'!$V$3:$V$11,'1'!$G$12)</f>
        <v>0</v>
      </c>
      <c r="H14" s="28">
        <f t="shared" ref="H14:H15" si="1">(E14+D14)/C14</f>
        <v>0</v>
      </c>
      <c r="I14" s="30"/>
    </row>
    <row r="15" spans="1:11" x14ac:dyDescent="0.3">
      <c r="A15" s="14">
        <v>3</v>
      </c>
      <c r="B15" s="14" t="s">
        <v>54</v>
      </c>
      <c r="C15" s="27">
        <f>SUMIFS('2'!$I:$I,'2'!$B:$B,'1'!$B15)</f>
        <v>2788025</v>
      </c>
      <c r="D15" s="27">
        <f>SUMIFS('2'!$M$3:$M$11,'2'!$B$3:$B$11,'1'!$B15)</f>
        <v>8000</v>
      </c>
      <c r="E15" s="27">
        <f>SUMIFS('2'!$N$3:$N$11,'2'!$B$3:$B$11,'1'!$B15,'2'!$V$3:$V$11,'1'!$E$12)</f>
        <v>2658825</v>
      </c>
      <c r="F15" s="27">
        <f t="shared" si="0"/>
        <v>121200</v>
      </c>
      <c r="G15" s="27">
        <f>SUMIFS('2'!$N$3:$N$11,'2'!$B$3:$B$11,'1'!$B15,'2'!$V$3:$V$11,'1'!$G$12)</f>
        <v>0</v>
      </c>
      <c r="H15" s="28">
        <f t="shared" si="1"/>
        <v>0.95652836685467313</v>
      </c>
      <c r="I15" s="30"/>
    </row>
  </sheetData>
  <sortState xmlns:xlrd2="http://schemas.microsoft.com/office/spreadsheetml/2017/richdata2" ref="B13:I15">
    <sortCondition ref="B13:B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563E-02A5-452B-932A-95C0CEFD7FF5}">
  <dimension ref="A1:AS12"/>
  <sheetViews>
    <sheetView topLeftCell="J1" workbookViewId="0">
      <selection activeCell="P2" sqref="P2"/>
    </sheetView>
  </sheetViews>
  <sheetFormatPr defaultRowHeight="14.4" x14ac:dyDescent="0.3"/>
  <cols>
    <col min="2" max="2" width="47.33203125" bestFit="1" customWidth="1"/>
    <col min="3" max="3" width="12.5546875" customWidth="1"/>
    <col min="4" max="4" width="13.77734375" customWidth="1"/>
    <col min="5" max="5" width="15.77734375" customWidth="1"/>
    <col min="6" max="6" width="12.33203125" bestFit="1" customWidth="1"/>
    <col min="7" max="7" width="14.33203125" bestFit="1" customWidth="1"/>
    <col min="8" max="8" width="14.109375" customWidth="1"/>
    <col min="9" max="9" width="18.21875" customWidth="1"/>
    <col min="10" max="10" width="15.77734375" customWidth="1"/>
    <col min="11" max="11" width="17.6640625" customWidth="1"/>
    <col min="12" max="12" width="20.109375" customWidth="1"/>
    <col min="13" max="13" width="17.109375" customWidth="1"/>
    <col min="14" max="14" width="16.33203125" customWidth="1"/>
    <col min="15" max="15" width="18.109375" customWidth="1"/>
    <col min="16" max="16" width="21.5546875" customWidth="1"/>
    <col min="17" max="17" width="14" customWidth="1"/>
    <col min="18" max="18" width="14.5546875" customWidth="1"/>
    <col min="19" max="19" width="19.33203125" customWidth="1"/>
    <col min="20" max="20" width="16.88671875" customWidth="1"/>
    <col min="21" max="21" width="18.5546875" customWidth="1"/>
    <col min="22" max="23" width="38.21875" bestFit="1" customWidth="1"/>
    <col min="24" max="24" width="20.33203125" bestFit="1" customWidth="1"/>
    <col min="25" max="25" width="17.77734375" customWidth="1"/>
    <col min="26" max="26" width="15.44140625" customWidth="1"/>
    <col min="27" max="27" width="18.21875" customWidth="1"/>
    <col min="28" max="28" width="36.109375" bestFit="1" customWidth="1"/>
    <col min="29" max="29" width="20.21875" customWidth="1"/>
    <col min="30" max="30" width="17.33203125" customWidth="1"/>
    <col min="31" max="31" width="16" customWidth="1"/>
    <col min="32" max="32" width="38.109375" bestFit="1" customWidth="1"/>
    <col min="33" max="33" width="23.21875" bestFit="1" customWidth="1"/>
    <col min="34" max="34" width="22.33203125" customWidth="1"/>
  </cols>
  <sheetData>
    <row r="1" spans="1:45" ht="15" thickBot="1" x14ac:dyDescent="0.35">
      <c r="O1" s="5" t="s">
        <v>48</v>
      </c>
      <c r="P1" s="5"/>
      <c r="Q1" s="5"/>
      <c r="R1" s="5"/>
      <c r="S1" s="5"/>
      <c r="T1" s="5"/>
      <c r="U1" s="5"/>
      <c r="V1" s="5"/>
      <c r="W1" s="4"/>
      <c r="X1" s="6" t="s">
        <v>47</v>
      </c>
      <c r="Y1" s="6"/>
      <c r="Z1" s="6"/>
      <c r="AA1" s="6"/>
      <c r="AB1" s="6" t="s">
        <v>49</v>
      </c>
      <c r="AC1" s="6"/>
      <c r="AD1" s="6"/>
      <c r="AE1" s="6"/>
      <c r="AF1" s="6"/>
      <c r="AG1" s="6"/>
      <c r="AH1" s="6"/>
    </row>
    <row r="2" spans="1:45" ht="55.8" thickTop="1" x14ac:dyDescent="0.3">
      <c r="A2" s="7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9" t="s">
        <v>28</v>
      </c>
      <c r="P2" s="9" t="s">
        <v>29</v>
      </c>
      <c r="Q2" s="9" t="s">
        <v>43</v>
      </c>
      <c r="R2" s="9" t="s">
        <v>30</v>
      </c>
      <c r="S2" s="9" t="s">
        <v>44</v>
      </c>
      <c r="T2" s="9" t="s">
        <v>46</v>
      </c>
      <c r="U2" s="9" t="s">
        <v>31</v>
      </c>
      <c r="V2" s="9" t="s">
        <v>32</v>
      </c>
      <c r="W2" s="9" t="s">
        <v>34</v>
      </c>
      <c r="X2" s="9" t="s">
        <v>33</v>
      </c>
      <c r="Y2" s="9" t="s">
        <v>35</v>
      </c>
      <c r="Z2" s="9" t="s">
        <v>50</v>
      </c>
      <c r="AA2" s="9" t="s">
        <v>36</v>
      </c>
      <c r="AB2" s="8" t="s">
        <v>37</v>
      </c>
      <c r="AC2" s="8" t="s">
        <v>45</v>
      </c>
      <c r="AD2" s="8" t="s">
        <v>38</v>
      </c>
      <c r="AE2" s="8" t="s">
        <v>39</v>
      </c>
      <c r="AF2" s="8" t="s">
        <v>40</v>
      </c>
      <c r="AG2" s="8" t="s">
        <v>41</v>
      </c>
      <c r="AH2" s="8" t="s">
        <v>42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s="18" customFormat="1" x14ac:dyDescent="0.3">
      <c r="A3" s="13">
        <v>1</v>
      </c>
      <c r="B3" s="14" t="s">
        <v>54</v>
      </c>
      <c r="C3" s="14" t="s">
        <v>53</v>
      </c>
      <c r="D3" s="14">
        <v>1</v>
      </c>
      <c r="E3" s="15">
        <v>45915</v>
      </c>
      <c r="F3" s="14" t="s">
        <v>55</v>
      </c>
      <c r="G3" s="14" t="s">
        <v>56</v>
      </c>
      <c r="H3" s="14">
        <v>1</v>
      </c>
      <c r="I3" s="16">
        <v>8000</v>
      </c>
      <c r="J3" s="16">
        <v>8000</v>
      </c>
      <c r="K3" s="16"/>
      <c r="L3" s="16"/>
      <c r="M3" s="16">
        <f>J3+K3</f>
        <v>8000</v>
      </c>
      <c r="N3" s="16">
        <f>I3-M3</f>
        <v>0</v>
      </c>
      <c r="O3" s="14" t="s">
        <v>60</v>
      </c>
      <c r="P3" s="15">
        <v>46026</v>
      </c>
      <c r="Q3" s="17" t="s">
        <v>75</v>
      </c>
      <c r="R3" s="14" t="s">
        <v>79</v>
      </c>
      <c r="S3" s="14" t="s">
        <v>88</v>
      </c>
      <c r="T3" s="14" t="s">
        <v>79</v>
      </c>
      <c r="U3" s="15">
        <v>46026</v>
      </c>
      <c r="V3" s="14" t="s">
        <v>91</v>
      </c>
      <c r="W3" s="14"/>
      <c r="X3" s="14"/>
      <c r="Y3" s="14"/>
      <c r="Z3" s="14"/>
      <c r="AA3" s="14"/>
      <c r="AB3" s="14" t="s">
        <v>101</v>
      </c>
      <c r="AC3" s="14" t="s">
        <v>79</v>
      </c>
      <c r="AD3" s="20">
        <v>46113</v>
      </c>
      <c r="AE3" s="14" t="s">
        <v>102</v>
      </c>
      <c r="AF3" s="14" t="s">
        <v>103</v>
      </c>
      <c r="AG3" s="14" t="s">
        <v>104</v>
      </c>
      <c r="AH3" s="14"/>
    </row>
    <row r="4" spans="1:45" s="18" customFormat="1" x14ac:dyDescent="0.3">
      <c r="A4" s="13">
        <v>2</v>
      </c>
      <c r="B4" s="14" t="s">
        <v>54</v>
      </c>
      <c r="C4" s="14" t="s">
        <v>53</v>
      </c>
      <c r="D4" s="14">
        <v>2</v>
      </c>
      <c r="E4" s="15">
        <v>45917</v>
      </c>
      <c r="F4" s="14" t="s">
        <v>58</v>
      </c>
      <c r="G4" s="14" t="s">
        <v>59</v>
      </c>
      <c r="H4" s="14">
        <v>4</v>
      </c>
      <c r="I4" s="16">
        <v>121200</v>
      </c>
      <c r="J4" s="16"/>
      <c r="K4" s="16"/>
      <c r="L4" s="16"/>
      <c r="M4" s="16">
        <f t="shared" ref="M4:M11" si="0">J4+K4</f>
        <v>0</v>
      </c>
      <c r="N4" s="16">
        <f t="shared" ref="N4:N11" si="1">I4-M4</f>
        <v>121200</v>
      </c>
      <c r="O4" s="14" t="s">
        <v>57</v>
      </c>
      <c r="P4" s="15"/>
      <c r="Q4" s="17"/>
      <c r="R4" s="14"/>
      <c r="S4" s="14" t="s">
        <v>88</v>
      </c>
      <c r="T4" s="14"/>
      <c r="U4" s="14"/>
      <c r="V4" s="14"/>
      <c r="W4" s="14"/>
      <c r="X4" s="14"/>
      <c r="Y4" s="14"/>
      <c r="Z4" s="14"/>
      <c r="AA4" s="14"/>
      <c r="AB4" s="14" t="s">
        <v>99</v>
      </c>
      <c r="AC4" s="14"/>
      <c r="AD4" s="14"/>
      <c r="AE4" s="14"/>
      <c r="AF4" s="14"/>
      <c r="AG4" s="14"/>
      <c r="AH4" s="14"/>
    </row>
    <row r="5" spans="1:45" s="18" customFormat="1" x14ac:dyDescent="0.3">
      <c r="A5" s="13">
        <v>3</v>
      </c>
      <c r="B5" s="14" t="s">
        <v>54</v>
      </c>
      <c r="C5" s="14" t="s">
        <v>53</v>
      </c>
      <c r="D5" s="14">
        <v>2</v>
      </c>
      <c r="E5" s="15">
        <v>45947</v>
      </c>
      <c r="F5" s="14" t="s">
        <v>61</v>
      </c>
      <c r="G5" s="14" t="s">
        <v>62</v>
      </c>
      <c r="H5" s="14">
        <v>195</v>
      </c>
      <c r="I5" s="16">
        <v>2658825</v>
      </c>
      <c r="J5" s="16"/>
      <c r="K5" s="16"/>
      <c r="L5" s="16"/>
      <c r="M5" s="16">
        <f t="shared" si="0"/>
        <v>0</v>
      </c>
      <c r="N5" s="16">
        <f t="shared" si="1"/>
        <v>2658825</v>
      </c>
      <c r="O5" s="14" t="s">
        <v>60</v>
      </c>
      <c r="P5" s="15">
        <v>46026</v>
      </c>
      <c r="Q5" s="17" t="s">
        <v>76</v>
      </c>
      <c r="R5" s="14" t="s">
        <v>79</v>
      </c>
      <c r="S5" s="14" t="s">
        <v>88</v>
      </c>
      <c r="T5" s="14" t="s">
        <v>81</v>
      </c>
      <c r="U5" s="15">
        <v>46026</v>
      </c>
      <c r="V5" s="14" t="s">
        <v>5</v>
      </c>
      <c r="W5" s="14"/>
      <c r="X5" s="14"/>
      <c r="Y5" s="14"/>
      <c r="Z5" s="14"/>
      <c r="AA5" s="14"/>
      <c r="AB5" s="14" t="s">
        <v>99</v>
      </c>
      <c r="AC5" s="14"/>
      <c r="AD5" s="14"/>
      <c r="AE5" s="14"/>
      <c r="AF5" s="14"/>
      <c r="AG5" s="14"/>
      <c r="AH5" s="14"/>
    </row>
    <row r="6" spans="1:45" s="18" customFormat="1" x14ac:dyDescent="0.3">
      <c r="A6" s="13">
        <v>4</v>
      </c>
      <c r="B6" s="14" t="s">
        <v>52</v>
      </c>
      <c r="C6" s="14" t="s">
        <v>53</v>
      </c>
      <c r="D6" s="14">
        <v>2</v>
      </c>
      <c r="E6" s="15">
        <v>45923</v>
      </c>
      <c r="F6" s="14" t="s">
        <v>63</v>
      </c>
      <c r="G6" s="14" t="s">
        <v>64</v>
      </c>
      <c r="H6" s="14">
        <v>3</v>
      </c>
      <c r="I6" s="16">
        <v>40905</v>
      </c>
      <c r="J6" s="16"/>
      <c r="K6" s="16"/>
      <c r="L6" s="16"/>
      <c r="M6" s="16">
        <f t="shared" si="0"/>
        <v>0</v>
      </c>
      <c r="N6" s="16">
        <f t="shared" si="1"/>
        <v>40905</v>
      </c>
      <c r="O6" s="14" t="s">
        <v>57</v>
      </c>
      <c r="P6" s="15"/>
      <c r="Q6" s="19" t="s">
        <v>77</v>
      </c>
      <c r="R6" s="14"/>
      <c r="S6" s="14" t="s">
        <v>88</v>
      </c>
      <c r="T6" s="14"/>
      <c r="U6" s="14"/>
      <c r="V6" s="14"/>
      <c r="W6" s="14"/>
      <c r="X6" s="14"/>
      <c r="Y6" s="14"/>
      <c r="Z6" s="14"/>
      <c r="AA6" s="14"/>
      <c r="AB6" s="14" t="s">
        <v>99</v>
      </c>
      <c r="AC6" s="14"/>
      <c r="AD6" s="14"/>
      <c r="AE6" s="14"/>
      <c r="AF6" s="14"/>
      <c r="AG6" s="14"/>
      <c r="AH6" s="14"/>
    </row>
    <row r="7" spans="1:45" s="18" customFormat="1" x14ac:dyDescent="0.3">
      <c r="A7" s="13">
        <v>5</v>
      </c>
      <c r="B7" s="14" t="s">
        <v>52</v>
      </c>
      <c r="C7" s="14" t="s">
        <v>53</v>
      </c>
      <c r="D7" s="14">
        <v>2</v>
      </c>
      <c r="E7" s="15">
        <v>45923</v>
      </c>
      <c r="F7" s="14" t="s">
        <v>61</v>
      </c>
      <c r="G7" s="14" t="s">
        <v>65</v>
      </c>
      <c r="H7" s="14">
        <v>161</v>
      </c>
      <c r="I7" s="16">
        <v>2195235</v>
      </c>
      <c r="J7" s="16"/>
      <c r="K7" s="16"/>
      <c r="L7" s="16"/>
      <c r="M7" s="16">
        <f t="shared" si="0"/>
        <v>0</v>
      </c>
      <c r="N7" s="16">
        <f t="shared" si="1"/>
        <v>2195235</v>
      </c>
      <c r="O7" s="14" t="s">
        <v>73</v>
      </c>
      <c r="P7" s="15">
        <v>46002</v>
      </c>
      <c r="Q7" s="19" t="s">
        <v>77</v>
      </c>
      <c r="R7" s="14" t="s">
        <v>79</v>
      </c>
      <c r="S7" s="14" t="s">
        <v>88</v>
      </c>
      <c r="T7" s="14" t="s">
        <v>80</v>
      </c>
      <c r="U7" s="15">
        <v>46002</v>
      </c>
      <c r="V7" s="14" t="s">
        <v>93</v>
      </c>
      <c r="W7" s="14" t="s">
        <v>90</v>
      </c>
      <c r="X7" s="14" t="s">
        <v>96</v>
      </c>
      <c r="Y7" s="14" t="s">
        <v>98</v>
      </c>
      <c r="Z7" s="14"/>
      <c r="AA7" s="14"/>
      <c r="AB7" s="14" t="s">
        <v>99</v>
      </c>
      <c r="AC7" s="14"/>
      <c r="AD7" s="14"/>
      <c r="AE7" s="14"/>
      <c r="AF7" s="14"/>
      <c r="AG7" s="14"/>
      <c r="AH7" s="14"/>
    </row>
    <row r="8" spans="1:45" s="18" customFormat="1" x14ac:dyDescent="0.3">
      <c r="A8" s="13">
        <v>6</v>
      </c>
      <c r="B8" s="14" t="s">
        <v>52</v>
      </c>
      <c r="C8" s="14" t="s">
        <v>53</v>
      </c>
      <c r="D8" s="14">
        <v>2</v>
      </c>
      <c r="E8" s="15">
        <v>45964</v>
      </c>
      <c r="F8" s="14" t="s">
        <v>58</v>
      </c>
      <c r="G8" s="14" t="s">
        <v>66</v>
      </c>
      <c r="H8" s="14">
        <v>15</v>
      </c>
      <c r="I8" s="16">
        <v>454500</v>
      </c>
      <c r="J8" s="16"/>
      <c r="K8" s="16"/>
      <c r="L8" s="16"/>
      <c r="M8" s="16">
        <f t="shared" si="0"/>
        <v>0</v>
      </c>
      <c r="N8" s="16">
        <f t="shared" si="1"/>
        <v>454500</v>
      </c>
      <c r="O8" s="14" t="s">
        <v>57</v>
      </c>
      <c r="P8" s="15"/>
      <c r="Q8" s="19" t="s">
        <v>78</v>
      </c>
      <c r="R8" s="14"/>
      <c r="S8" s="14" t="s">
        <v>88</v>
      </c>
      <c r="T8" s="14"/>
      <c r="U8" s="14"/>
      <c r="V8" s="14"/>
      <c r="W8" s="14"/>
      <c r="X8" s="14"/>
      <c r="Y8" s="14"/>
      <c r="Z8" s="14"/>
      <c r="AA8" s="14"/>
      <c r="AB8" s="14" t="s">
        <v>99</v>
      </c>
      <c r="AC8" s="14"/>
      <c r="AD8" s="14"/>
      <c r="AE8" s="14"/>
      <c r="AF8" s="14"/>
      <c r="AG8" s="14"/>
      <c r="AH8" s="14"/>
    </row>
    <row r="9" spans="1:45" s="18" customFormat="1" x14ac:dyDescent="0.3">
      <c r="A9" s="13">
        <v>7</v>
      </c>
      <c r="B9" s="14" t="s">
        <v>52</v>
      </c>
      <c r="C9" s="14" t="s">
        <v>53</v>
      </c>
      <c r="D9" s="14">
        <v>1</v>
      </c>
      <c r="E9" s="15">
        <v>45964</v>
      </c>
      <c r="F9" s="14" t="s">
        <v>67</v>
      </c>
      <c r="G9" s="14" t="s">
        <v>68</v>
      </c>
      <c r="H9" s="14">
        <v>29</v>
      </c>
      <c r="I9" s="16">
        <v>395415</v>
      </c>
      <c r="J9" s="16"/>
      <c r="K9" s="16"/>
      <c r="L9" s="16"/>
      <c r="M9" s="16">
        <f t="shared" si="0"/>
        <v>0</v>
      </c>
      <c r="N9" s="16">
        <f t="shared" si="1"/>
        <v>395415</v>
      </c>
      <c r="O9" s="14" t="s">
        <v>57</v>
      </c>
      <c r="P9" s="15"/>
      <c r="Q9" s="19" t="s">
        <v>78</v>
      </c>
      <c r="R9" s="14"/>
      <c r="S9" s="14" t="s">
        <v>88</v>
      </c>
      <c r="T9" s="11"/>
      <c r="U9" s="14"/>
      <c r="V9" s="11"/>
      <c r="W9" s="14"/>
      <c r="X9" s="11"/>
      <c r="Y9" s="14"/>
      <c r="Z9" s="14"/>
      <c r="AA9" s="14"/>
      <c r="AB9" s="14" t="s">
        <v>99</v>
      </c>
      <c r="AC9" s="11"/>
      <c r="AD9" s="14"/>
      <c r="AE9" s="14"/>
      <c r="AF9" s="14"/>
      <c r="AG9" s="14"/>
      <c r="AH9" s="14"/>
    </row>
    <row r="10" spans="1:45" s="18" customFormat="1" x14ac:dyDescent="0.3">
      <c r="A10" s="13">
        <v>8</v>
      </c>
      <c r="B10" s="14" t="s">
        <v>69</v>
      </c>
      <c r="C10" s="14" t="s">
        <v>53</v>
      </c>
      <c r="D10" s="14">
        <v>2</v>
      </c>
      <c r="E10" s="15">
        <v>45964</v>
      </c>
      <c r="F10" s="14" t="s">
        <v>70</v>
      </c>
      <c r="G10" s="14" t="s">
        <v>71</v>
      </c>
      <c r="H10" s="14">
        <v>14</v>
      </c>
      <c r="I10" s="16">
        <v>190890</v>
      </c>
      <c r="J10" s="16"/>
      <c r="K10" s="16"/>
      <c r="L10" s="16"/>
      <c r="M10" s="16">
        <f t="shared" si="0"/>
        <v>0</v>
      </c>
      <c r="N10" s="16">
        <f t="shared" si="1"/>
        <v>190890</v>
      </c>
      <c r="O10" s="14" t="s">
        <v>57</v>
      </c>
      <c r="P10" s="15"/>
      <c r="Q10" s="19" t="s">
        <v>78</v>
      </c>
      <c r="R10" s="14"/>
      <c r="S10" s="14" t="s">
        <v>88</v>
      </c>
      <c r="T10" s="11"/>
      <c r="U10" s="14"/>
      <c r="V10" s="11"/>
      <c r="W10" s="14"/>
      <c r="X10" s="11"/>
      <c r="Y10" s="14"/>
      <c r="Z10" s="14"/>
      <c r="AA10" s="14"/>
      <c r="AB10" s="14" t="s">
        <v>99</v>
      </c>
      <c r="AC10" s="11"/>
      <c r="AD10" s="14"/>
      <c r="AE10" s="14"/>
      <c r="AF10" s="14"/>
      <c r="AG10" s="14"/>
      <c r="AH10" s="14"/>
    </row>
    <row r="11" spans="1:45" s="18" customFormat="1" x14ac:dyDescent="0.3">
      <c r="A11" s="13">
        <v>9</v>
      </c>
      <c r="B11" s="14" t="s">
        <v>69</v>
      </c>
      <c r="C11" s="14" t="s">
        <v>53</v>
      </c>
      <c r="D11" s="14">
        <v>1</v>
      </c>
      <c r="E11" s="15">
        <v>45964</v>
      </c>
      <c r="F11" s="14" t="s">
        <v>67</v>
      </c>
      <c r="G11" s="14" t="s">
        <v>72</v>
      </c>
      <c r="H11" s="14">
        <v>40</v>
      </c>
      <c r="I11" s="16">
        <v>545400</v>
      </c>
      <c r="J11" s="16"/>
      <c r="K11" s="16"/>
      <c r="L11" s="16"/>
      <c r="M11" s="16">
        <f t="shared" si="0"/>
        <v>0</v>
      </c>
      <c r="N11" s="16">
        <f t="shared" si="1"/>
        <v>545400</v>
      </c>
      <c r="O11" s="14" t="s">
        <v>57</v>
      </c>
      <c r="P11" s="15"/>
      <c r="Q11" s="19" t="s">
        <v>78</v>
      </c>
      <c r="R11" s="14"/>
      <c r="S11" s="14" t="s">
        <v>88</v>
      </c>
      <c r="T11" s="11"/>
      <c r="U11" s="14"/>
      <c r="V11" s="11"/>
      <c r="W11" s="14"/>
      <c r="X11" s="11"/>
      <c r="Y11" s="14"/>
      <c r="Z11" s="14"/>
      <c r="AA11" s="14"/>
      <c r="AB11" s="14" t="s">
        <v>99</v>
      </c>
      <c r="AC11" s="11"/>
      <c r="AD11" s="14"/>
      <c r="AE11" s="14"/>
      <c r="AF11" s="14"/>
      <c r="AG11" s="14"/>
      <c r="AH11" s="14"/>
    </row>
    <row r="12" spans="1:45" x14ac:dyDescent="0.3">
      <c r="Q12" s="12"/>
    </row>
  </sheetData>
  <mergeCells count="3">
    <mergeCell ref="O1:V1"/>
    <mergeCell ref="X1:AA1"/>
    <mergeCell ref="AB1:A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440E20A-9FF4-4669-947E-0CD5A8BC9C22}">
          <x14:formula1>
            <xm:f>list!$A$2:$A$4</xm:f>
          </x14:formula1>
          <xm:sqref>O3:O11</xm:sqref>
        </x14:dataValidation>
        <x14:dataValidation type="list" allowBlank="1" showInputMessage="1" showErrorMessage="1" xr:uid="{CE991260-6704-4354-A2B5-FFCEC49EA61A}">
          <x14:formula1>
            <xm:f>list!$A$9:$A$13</xm:f>
          </x14:formula1>
          <xm:sqref>R3:R11 T3:T11</xm:sqref>
        </x14:dataValidation>
        <x14:dataValidation type="list" allowBlank="1" showInputMessage="1" showErrorMessage="1" xr:uid="{58594E28-44A6-43E8-A253-F024CD1A4E30}">
          <x14:formula1>
            <xm:f>list!$A$17:$A$21</xm:f>
          </x14:formula1>
          <xm:sqref>S3:S11</xm:sqref>
        </x14:dataValidation>
        <x14:dataValidation type="list" allowBlank="1" showInputMessage="1" showErrorMessage="1" xr:uid="{FBD218A9-4DA0-4FCC-AB02-1F4439696764}">
          <x14:formula1>
            <xm:f>list!$A$33:$A$34</xm:f>
          </x14:formula1>
          <xm:sqref>X3:X11</xm:sqref>
        </x14:dataValidation>
        <x14:dataValidation type="list" allowBlank="1" showInputMessage="1" showErrorMessage="1" xr:uid="{332B0EF1-52F1-4C14-B592-BC39D96E6827}">
          <x14:formula1>
            <xm:f>list!$A$38:$A$40</xm:f>
          </x14:formula1>
          <xm:sqref>AB3:AB11</xm:sqref>
        </x14:dataValidation>
        <x14:dataValidation type="list" allowBlank="1" showInputMessage="1" showErrorMessage="1" xr:uid="{365C1292-1CF1-4F05-956B-AC05DE4C5D72}">
          <x14:formula1>
            <xm:f>list!$A$44:$A$48</xm:f>
          </x14:formula1>
          <xm:sqref>AC3:AC11</xm:sqref>
        </x14:dataValidation>
        <x14:dataValidation type="list" allowBlank="1" showInputMessage="1" showErrorMessage="1" xr:uid="{B390C534-1B5D-4294-884F-F9CB7FFE4F93}">
          <x14:formula1>
            <xm:f>list!$A$25:$A$29</xm:f>
          </x14:formula1>
          <xm:sqref>V3:V11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0F37-0ED0-4B56-A9F4-812E72A5505F}">
  <dimension ref="A2:A5"/>
  <sheetViews>
    <sheetView workbookViewId="0">
      <selection activeCell="A6" sqref="A6"/>
    </sheetView>
  </sheetViews>
  <sheetFormatPr defaultRowHeight="14.4" x14ac:dyDescent="0.3"/>
  <cols>
    <col min="1" max="1" width="26.44140625" customWidth="1"/>
  </cols>
  <sheetData>
    <row r="2" spans="1:1" ht="15" thickBot="1" x14ac:dyDescent="0.35"/>
    <row r="3" spans="1:1" ht="42" thickTop="1" x14ac:dyDescent="0.3">
      <c r="A3" s="9" t="s">
        <v>43</v>
      </c>
    </row>
    <row r="5" spans="1:1" x14ac:dyDescent="0.3">
      <c r="A5" s="3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8053-12E1-42FD-A929-49035F58465B}">
  <dimension ref="A1:B48"/>
  <sheetViews>
    <sheetView workbookViewId="0">
      <selection activeCell="A2" sqref="A2"/>
    </sheetView>
  </sheetViews>
  <sheetFormatPr defaultRowHeight="14.4" x14ac:dyDescent="0.3"/>
  <cols>
    <col min="1" max="1" width="37" bestFit="1" customWidth="1"/>
    <col min="2" max="2" width="14.21875" customWidth="1"/>
  </cols>
  <sheetData>
    <row r="1" spans="1:2" x14ac:dyDescent="0.3">
      <c r="A1" s="10" t="s">
        <v>28</v>
      </c>
      <c r="B1" s="10"/>
    </row>
    <row r="2" spans="1:2" x14ac:dyDescent="0.3">
      <c r="A2" t="s">
        <v>60</v>
      </c>
    </row>
    <row r="3" spans="1:2" x14ac:dyDescent="0.3">
      <c r="A3" t="s">
        <v>73</v>
      </c>
    </row>
    <row r="4" spans="1:2" x14ac:dyDescent="0.3">
      <c r="A4" t="s">
        <v>57</v>
      </c>
      <c r="B4" t="s">
        <v>74</v>
      </c>
    </row>
    <row r="7" spans="1:2" ht="15" thickBot="1" x14ac:dyDescent="0.35"/>
    <row r="8" spans="1:2" ht="28.2" thickTop="1" x14ac:dyDescent="0.3">
      <c r="A8" s="9" t="s">
        <v>30</v>
      </c>
      <c r="B8" s="9" t="s">
        <v>89</v>
      </c>
    </row>
    <row r="9" spans="1:2" x14ac:dyDescent="0.3">
      <c r="A9" t="s">
        <v>79</v>
      </c>
    </row>
    <row r="10" spans="1:2" x14ac:dyDescent="0.3">
      <c r="A10" t="s">
        <v>80</v>
      </c>
    </row>
    <row r="11" spans="1:2" x14ac:dyDescent="0.3">
      <c r="A11" t="s">
        <v>81</v>
      </c>
    </row>
    <row r="12" spans="1:2" x14ac:dyDescent="0.3">
      <c r="A12" t="s">
        <v>82</v>
      </c>
    </row>
    <row r="13" spans="1:2" x14ac:dyDescent="0.3">
      <c r="A13" t="s">
        <v>83</v>
      </c>
    </row>
    <row r="15" spans="1:2" ht="15" thickBot="1" x14ac:dyDescent="0.35"/>
    <row r="16" spans="1:2" ht="55.8" thickTop="1" x14ac:dyDescent="0.3">
      <c r="A16" s="9" t="s">
        <v>44</v>
      </c>
    </row>
    <row r="17" spans="1:1" x14ac:dyDescent="0.3">
      <c r="A17" t="s">
        <v>85</v>
      </c>
    </row>
    <row r="18" spans="1:1" x14ac:dyDescent="0.3">
      <c r="A18" t="s">
        <v>86</v>
      </c>
    </row>
    <row r="19" spans="1:1" x14ac:dyDescent="0.3">
      <c r="A19" t="s">
        <v>87</v>
      </c>
    </row>
    <row r="20" spans="1:1" x14ac:dyDescent="0.3">
      <c r="A20" t="s">
        <v>84</v>
      </c>
    </row>
    <row r="21" spans="1:1" x14ac:dyDescent="0.3">
      <c r="A21" t="s">
        <v>88</v>
      </c>
    </row>
    <row r="22" spans="1:1" ht="15" thickBot="1" x14ac:dyDescent="0.35"/>
    <row r="23" spans="1:1" ht="15" thickTop="1" x14ac:dyDescent="0.3">
      <c r="A23" s="9" t="s">
        <v>32</v>
      </c>
    </row>
    <row r="24" spans="1:1" x14ac:dyDescent="0.3">
      <c r="A24" t="s">
        <v>94</v>
      </c>
    </row>
    <row r="25" spans="1:1" x14ac:dyDescent="0.3">
      <c r="A25" t="s">
        <v>91</v>
      </c>
    </row>
    <row r="26" spans="1:1" x14ac:dyDescent="0.3">
      <c r="A26" t="s">
        <v>92</v>
      </c>
    </row>
    <row r="27" spans="1:1" x14ac:dyDescent="0.3">
      <c r="A27" t="s">
        <v>7</v>
      </c>
    </row>
    <row r="28" spans="1:1" x14ac:dyDescent="0.3">
      <c r="A28" t="s">
        <v>5</v>
      </c>
    </row>
    <row r="29" spans="1:1" x14ac:dyDescent="0.3">
      <c r="A29" t="s">
        <v>95</v>
      </c>
    </row>
    <row r="31" spans="1:1" ht="15" thickBot="1" x14ac:dyDescent="0.35"/>
    <row r="32" spans="1:1" ht="28.2" thickTop="1" x14ac:dyDescent="0.3">
      <c r="A32" s="9" t="s">
        <v>33</v>
      </c>
    </row>
    <row r="33" spans="1:1" x14ac:dyDescent="0.3">
      <c r="A33" t="s">
        <v>96</v>
      </c>
    </row>
    <row r="34" spans="1:1" x14ac:dyDescent="0.3">
      <c r="A34" t="s">
        <v>97</v>
      </c>
    </row>
    <row r="36" spans="1:1" ht="15" thickBot="1" x14ac:dyDescent="0.35"/>
    <row r="37" spans="1:1" ht="28.2" thickTop="1" x14ac:dyDescent="0.3">
      <c r="A37" s="8" t="s">
        <v>37</v>
      </c>
    </row>
    <row r="38" spans="1:1" x14ac:dyDescent="0.3">
      <c r="A38" t="s">
        <v>99</v>
      </c>
    </row>
    <row r="39" spans="1:1" x14ac:dyDescent="0.3">
      <c r="A39" t="s">
        <v>100</v>
      </c>
    </row>
    <row r="40" spans="1:1" x14ac:dyDescent="0.3">
      <c r="A40" t="s">
        <v>101</v>
      </c>
    </row>
    <row r="42" spans="1:1" ht="15" thickBot="1" x14ac:dyDescent="0.35"/>
    <row r="43" spans="1:1" ht="15" thickTop="1" x14ac:dyDescent="0.3">
      <c r="A43" s="8" t="s">
        <v>45</v>
      </c>
    </row>
    <row r="44" spans="1:1" x14ac:dyDescent="0.3">
      <c r="A44" t="s">
        <v>79</v>
      </c>
    </row>
    <row r="45" spans="1:1" x14ac:dyDescent="0.3">
      <c r="A45" t="s">
        <v>80</v>
      </c>
    </row>
    <row r="46" spans="1:1" x14ac:dyDescent="0.3">
      <c r="A46" t="s">
        <v>81</v>
      </c>
    </row>
    <row r="47" spans="1:1" x14ac:dyDescent="0.3">
      <c r="A47" t="s">
        <v>82</v>
      </c>
    </row>
    <row r="48" spans="1:1" x14ac:dyDescent="0.3">
      <c r="A48" t="s">
        <v>83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notes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Prince</dc:creator>
  <cp:lastModifiedBy>UNIFAST RXII</cp:lastModifiedBy>
  <dcterms:created xsi:type="dcterms:W3CDTF">2026-01-08T03:27:02Z</dcterms:created>
  <dcterms:modified xsi:type="dcterms:W3CDTF">2026-01-19T08:28:10Z</dcterms:modified>
</cp:coreProperties>
</file>